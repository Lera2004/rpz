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\Desktop\"/>
    </mc:Choice>
  </mc:AlternateContent>
  <xr:revisionPtr revIDLastSave="0" documentId="13_ncr:1_{AD091CE7-DF20-4C96-A06A-39E9D763C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со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2" l="1"/>
  <c r="G61" i="2"/>
  <c r="Y33" i="2"/>
  <c r="J33" i="2"/>
  <c r="J32" i="2"/>
  <c r="Y32" i="2" s="1"/>
  <c r="J31" i="2"/>
  <c r="Y31" i="2" s="1"/>
  <c r="J30" i="2"/>
  <c r="Y30" i="2" s="1"/>
  <c r="S29" i="2"/>
  <c r="R29" i="2"/>
  <c r="Y29" i="2" s="1"/>
  <c r="S28" i="2"/>
  <c r="Y28" i="2" s="1"/>
  <c r="R28" i="2"/>
  <c r="Y27" i="2"/>
  <c r="Y26" i="2"/>
  <c r="L26" i="2"/>
  <c r="J26" i="2"/>
  <c r="L25" i="2"/>
  <c r="J25" i="2"/>
  <c r="Y25" i="2" s="1"/>
  <c r="L24" i="2"/>
  <c r="J24" i="2"/>
  <c r="Y24" i="2" s="1"/>
  <c r="L23" i="2"/>
  <c r="J23" i="2"/>
  <c r="Y23" i="2" s="1"/>
  <c r="L22" i="2"/>
  <c r="J22" i="2"/>
  <c r="Y22" i="2" s="1"/>
  <c r="Y21" i="2"/>
  <c r="L21" i="2"/>
  <c r="J21" i="2"/>
  <c r="J20" i="2"/>
  <c r="Y20" i="2" s="1"/>
  <c r="Y19" i="2"/>
  <c r="J19" i="2"/>
  <c r="X18" i="2"/>
  <c r="T18" i="2"/>
  <c r="J18" i="2"/>
  <c r="G18" i="2"/>
  <c r="X17" i="2"/>
  <c r="T17" i="2"/>
  <c r="J17" i="2"/>
  <c r="J16" i="2"/>
  <c r="Y16" i="2" s="1"/>
  <c r="J15" i="2"/>
  <c r="Y15" i="2" s="1"/>
  <c r="Y18" i="2" l="1"/>
  <c r="O18" i="2"/>
  <c r="G17" i="2"/>
  <c r="Y17" i="2"/>
  <c r="O17" i="2"/>
  <c r="Y58" i="2" l="1"/>
  <c r="D69" i="2" s="1"/>
</calcChain>
</file>

<file path=xl/sharedStrings.xml><?xml version="1.0" encoding="utf-8"?>
<sst xmlns="http://schemas.openxmlformats.org/spreadsheetml/2006/main" count="141" uniqueCount="87">
  <si>
    <t>ПОГОДЖЕНО</t>
  </si>
  <si>
    <t>До наказу:</t>
  </si>
  <si>
    <t>ЗАТВЕРДЖУЮ</t>
  </si>
  <si>
    <t>Заступник директора з НР</t>
  </si>
  <si>
    <t>В.о. директора</t>
  </si>
  <si>
    <t>________________ Олена ТОЦЬКА</t>
  </si>
  <si>
    <t>____________ Руслан КОШЕЛЮК</t>
  </si>
  <si>
    <t>"30" серпня 2025 р.</t>
  </si>
  <si>
    <r>
      <t xml:space="preserve">Педагогічне навантаження викладача </t>
    </r>
    <r>
      <rPr>
        <u/>
        <sz val="11"/>
        <color indexed="8"/>
        <rFont val="Times New Roman"/>
        <family val="1"/>
        <charset val="204"/>
      </rPr>
      <t>Басок Я.В.</t>
    </r>
    <r>
      <rPr>
        <sz val="11"/>
        <color indexed="8"/>
        <rFont val="Times New Roman"/>
        <family val="1"/>
        <charset val="204"/>
      </rPr>
      <t xml:space="preserve"> циклової комісії спеціальності 121 "Інженерія програмного забезпечення" на 2025-2026н.р.</t>
    </r>
  </si>
  <si>
    <t>ПІБ</t>
  </si>
  <si>
    <t>№ за НП</t>
  </si>
  <si>
    <t>Група</t>
  </si>
  <si>
    <t>Кількість студентів</t>
  </si>
  <si>
    <t>Курс</t>
  </si>
  <si>
    <t>Семестр</t>
  </si>
  <si>
    <t>Тривалість семестру (тижн.)</t>
  </si>
  <si>
    <t>Кількість годин в тиждень</t>
  </si>
  <si>
    <t>Назва предмета</t>
  </si>
  <si>
    <t>Кількість годин</t>
  </si>
  <si>
    <t>Всього за навчальним планом</t>
  </si>
  <si>
    <t>З них</t>
  </si>
  <si>
    <t>РГР</t>
  </si>
  <si>
    <t>Консультації з СР</t>
  </si>
  <si>
    <t>Курсові проекти та роботи</t>
  </si>
  <si>
    <t>Контрольні роботи</t>
  </si>
  <si>
    <t>На прийняття заліку</t>
  </si>
  <si>
    <t>На консультації до іспиту</t>
  </si>
  <si>
    <t>На прийняття іспиту</t>
  </si>
  <si>
    <t>Всього до оплати</t>
  </si>
  <si>
    <t>аудиторні всього</t>
  </si>
  <si>
    <t>в тому числі</t>
  </si>
  <si>
    <t>самостійна робота</t>
  </si>
  <si>
    <t>на виконання</t>
  </si>
  <si>
    <t>на захист</t>
  </si>
  <si>
    <t xml:space="preserve">ОКР </t>
  </si>
  <si>
    <t xml:space="preserve">ДКР </t>
  </si>
  <si>
    <t>лекції</t>
  </si>
  <si>
    <t>практичні роботи</t>
  </si>
  <si>
    <t>лабораторні заняття</t>
  </si>
  <si>
    <t>семін.,практ.заняття</t>
  </si>
  <si>
    <t>ВК6</t>
  </si>
  <si>
    <t>РПЗ 23 1/9</t>
  </si>
  <si>
    <t>Управління IT-проєктами</t>
  </si>
  <si>
    <t>РПЗ 23 2/9</t>
  </si>
  <si>
    <t>Проектний практикум</t>
  </si>
  <si>
    <t>ОК20</t>
  </si>
  <si>
    <t>РПЗ 22 1/9</t>
  </si>
  <si>
    <t>Розробка серверних додатків</t>
  </si>
  <si>
    <t>РПЗ 22 2/9</t>
  </si>
  <si>
    <t>ОК14</t>
  </si>
  <si>
    <t>Конструювання програмного забезпечення</t>
  </si>
  <si>
    <t>ОК32</t>
  </si>
  <si>
    <t>НП з розробки ПЗ</t>
  </si>
  <si>
    <t>ОК31</t>
  </si>
  <si>
    <t>НП з програмування</t>
  </si>
  <si>
    <t>ОК30</t>
  </si>
  <si>
    <t>РПЗ 24 1/9</t>
  </si>
  <si>
    <t>НП з проектування БД</t>
  </si>
  <si>
    <t>РПЗ 24 2/9</t>
  </si>
  <si>
    <t>ОК35</t>
  </si>
  <si>
    <t>РПЗ 22 1-2/9</t>
  </si>
  <si>
    <t>Консультації зі спец. частини</t>
  </si>
  <si>
    <t>ОК16</t>
  </si>
  <si>
    <t>Візуальне об'єктно-орієнтоване програмування</t>
  </si>
  <si>
    <t>ОК6</t>
  </si>
  <si>
    <t>Охорона праці</t>
  </si>
  <si>
    <t>ОК5</t>
  </si>
  <si>
    <t>РПЗ 25 1/9</t>
  </si>
  <si>
    <t>Безпека життєдіяльності</t>
  </si>
  <si>
    <t>РПЗ 25 2/9</t>
  </si>
  <si>
    <t>№ з/п</t>
  </si>
  <si>
    <t xml:space="preserve">Консультації з СР </t>
  </si>
  <si>
    <t>ОКР</t>
  </si>
  <si>
    <t>семін., практ.заняття</t>
  </si>
  <si>
    <t>Всього:</t>
  </si>
  <si>
    <t xml:space="preserve">Кільк. год. у тиждень у 1му семестрі </t>
  </si>
  <si>
    <t xml:space="preserve">Педнавантаження розглянуто та погоджено на засіданні ЦК  "ІПЗ" </t>
  </si>
  <si>
    <t xml:space="preserve">Кільк. год. у тиждень у 2му семестрі  </t>
  </si>
  <si>
    <t>Протокол № 1 від 30.08.2024</t>
  </si>
  <si>
    <t>Кільк. год. на заочному відділенні у 1му семестрі ______________</t>
  </si>
  <si>
    <t>Голова ЦК __________________________"29" серпня 2025 р.</t>
  </si>
  <si>
    <t>Кільк. год. на заочному відділенні у 2му семестрі ______________</t>
  </si>
  <si>
    <t>Педнавантаження отримав щодо виконання: викладач ___________________ "___" _____________ 20 __ р.</t>
  </si>
  <si>
    <t xml:space="preserve">Всього годин </t>
  </si>
  <si>
    <t xml:space="preserve">              Відокремлений структурний підрозділ "Запорізький електротехнічний фаховий коледж</t>
  </si>
  <si>
    <t xml:space="preserve">                                                  Міністерство освіти і науки України</t>
  </si>
  <si>
    <t xml:space="preserve">                                        Національного університету "Запорізька політехніка"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</si>
</sst>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19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3"/>
      <color indexed="8"/>
      <name val="Times New Roman"/>
      <family val="1"/>
      <charset val="204"/>
    </font>
    <font>
      <sz val="13"/>
      <color indexed="8"/>
      <name val="Calibri"/>
      <family val="2"/>
      <charset val="204"/>
    </font>
    <font>
      <u/>
      <sz val="13"/>
      <color indexed="8"/>
      <name val="Times New Roman"/>
      <family val="1"/>
      <charset val="204"/>
    </font>
    <font>
      <u/>
      <sz val="11"/>
      <color indexed="8"/>
      <name val="Times New Roman"/>
      <family val="1"/>
      <charset val="204"/>
    </font>
    <font>
      <b/>
      <sz val="9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u/>
      <sz val="11"/>
      <color indexed="8"/>
      <name val="Calibri"/>
      <family val="2"/>
      <charset val="204"/>
    </font>
    <font>
      <b/>
      <u/>
      <sz val="9"/>
      <color indexed="8"/>
      <name val="Times New Roman"/>
      <family val="1"/>
      <charset val="204"/>
    </font>
    <font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0" fontId="18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2" xfId="0" applyFont="1" applyBorder="1" applyAlignment="1">
      <alignment horizontal="center" vertical="center" textRotation="90"/>
    </xf>
    <xf numFmtId="0" fontId="9" fillId="3" borderId="2" xfId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right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12" fillId="3" borderId="2" xfId="0" applyNumberFormat="1" applyFont="1" applyFill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righ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12" fillId="3" borderId="2" xfId="0" applyFont="1" applyFill="1" applyBorder="1"/>
    <xf numFmtId="0" fontId="9" fillId="3" borderId="2" xfId="1" applyFont="1" applyFill="1" applyBorder="1" applyAlignment="1">
      <alignment horizontal="left" vertical="center"/>
    </xf>
    <xf numFmtId="0" fontId="0" fillId="0" borderId="2" xfId="0" applyBorder="1"/>
    <xf numFmtId="0" fontId="14" fillId="0" borderId="2" xfId="0" applyFont="1" applyBorder="1"/>
    <xf numFmtId="2" fontId="15" fillId="2" borderId="2" xfId="0" applyNumberFormat="1" applyFont="1" applyFill="1" applyBorder="1"/>
    <xf numFmtId="1" fontId="16" fillId="4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2" fontId="17" fillId="0" borderId="0" xfId="0" applyNumberFormat="1" applyFont="1"/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90" readingOrder="1"/>
    </xf>
    <xf numFmtId="0" fontId="0" fillId="0" borderId="4" xfId="0" applyBorder="1" applyAlignment="1">
      <alignment textRotation="90" readingOrder="1"/>
    </xf>
    <xf numFmtId="0" fontId="0" fillId="0" borderId="5" xfId="0" applyBorder="1" applyAlignment="1">
      <alignment textRotation="90" readingOrder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/>
    </xf>
    <xf numFmtId="0" fontId="5" fillId="2" borderId="0" xfId="0" applyFont="1" applyFill="1" applyAlignment="1"/>
    <xf numFmtId="0" fontId="5" fillId="0" borderId="0" xfId="0" applyFont="1" applyFill="1" applyAlignment="1"/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4">
    <cellStyle name="Денежный 2" xfId="2" xr:uid="{00000000-0005-0000-0000-000000000000}"/>
    <cellStyle name="Звичайний" xfId="0" builtinId="0"/>
    <cellStyle name="Обычный 2" xfId="3" xr:uid="{00000000-0005-0000-0000-000002000000}"/>
    <cellStyle name="Обычный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B4C2-7105-4F4C-8FD1-75C757D19950}">
  <dimension ref="A1:Y69"/>
  <sheetViews>
    <sheetView tabSelected="1" zoomScale="85" zoomScaleNormal="85" workbookViewId="0">
      <selection activeCell="AC13" sqref="AC13"/>
    </sheetView>
  </sheetViews>
  <sheetFormatPr defaultRowHeight="14.4" x14ac:dyDescent="0.3"/>
  <cols>
    <col min="1" max="1" width="5.109375" customWidth="1"/>
    <col min="2" max="2" width="8.88671875" customWidth="1"/>
    <col min="3" max="3" width="6.6640625" customWidth="1"/>
    <col min="4" max="5" width="6.5546875" customWidth="1"/>
    <col min="6" max="6" width="5.6640625" customWidth="1"/>
    <col min="7" max="7" width="5.33203125" customWidth="1"/>
    <col min="8" max="8" width="23.33203125" customWidth="1"/>
    <col min="9" max="9" width="5.6640625" customWidth="1"/>
    <col min="10" max="10" width="7.88671875" customWidth="1"/>
    <col min="11" max="11" width="6.109375" customWidth="1"/>
    <col min="12" max="12" width="5.5546875" customWidth="1"/>
    <col min="13" max="13" width="7.44140625" customWidth="1"/>
    <col min="14" max="14" width="7.33203125" customWidth="1"/>
    <col min="15" max="15" width="6.5546875" customWidth="1"/>
    <col min="16" max="16" width="6" customWidth="1"/>
    <col min="17" max="17" width="5.88671875" customWidth="1"/>
    <col min="18" max="18" width="6.6640625" customWidth="1"/>
    <col min="19" max="19" width="6.44140625" customWidth="1"/>
    <col min="20" max="20" width="6" customWidth="1"/>
    <col min="21" max="21" width="6.33203125" customWidth="1"/>
    <col min="22" max="23" width="6.5546875" customWidth="1"/>
    <col min="24" max="24" width="6.33203125" customWidth="1"/>
    <col min="25" max="25" width="7.33203125" customWidth="1"/>
  </cols>
  <sheetData>
    <row r="1" spans="1:25" x14ac:dyDescent="0.3">
      <c r="H1" s="59" t="s">
        <v>85</v>
      </c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25" x14ac:dyDescent="0.3">
      <c r="H2" s="59" t="s">
        <v>84</v>
      </c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25" x14ac:dyDescent="0.3">
      <c r="H3" s="59" t="s">
        <v>86</v>
      </c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25" ht="15" customHeight="1" x14ac:dyDescent="0.35">
      <c r="A4" s="2" t="s">
        <v>0</v>
      </c>
      <c r="B4" s="2"/>
      <c r="C4" s="2"/>
      <c r="D4" s="2"/>
      <c r="E4" s="3"/>
      <c r="H4" s="61"/>
      <c r="I4" s="61"/>
      <c r="J4" s="61"/>
      <c r="K4" s="4"/>
      <c r="L4" s="4"/>
      <c r="M4" s="4"/>
      <c r="N4" s="4"/>
      <c r="O4" s="4"/>
      <c r="P4" s="4"/>
      <c r="Q4" s="4"/>
      <c r="R4" s="4"/>
      <c r="U4" s="5" t="s">
        <v>2</v>
      </c>
      <c r="V4" s="1"/>
      <c r="W4" s="1"/>
      <c r="X4" s="1"/>
      <c r="Y4" s="1"/>
    </row>
    <row r="5" spans="1:25" ht="15" customHeight="1" x14ac:dyDescent="0.35">
      <c r="A5" s="2" t="s">
        <v>3</v>
      </c>
      <c r="B5" s="2"/>
      <c r="C5" s="2"/>
      <c r="D5" s="2"/>
      <c r="E5" s="2"/>
      <c r="F5" s="3"/>
      <c r="G5" s="3"/>
      <c r="H5" s="61"/>
      <c r="I5" s="61" t="s">
        <v>1</v>
      </c>
      <c r="J5" s="61"/>
      <c r="K5" s="57">
        <v>720</v>
      </c>
      <c r="L5" s="58"/>
      <c r="M5" s="4"/>
      <c r="N5" s="4"/>
      <c r="O5" s="4"/>
      <c r="P5" s="4"/>
      <c r="Q5" s="4"/>
      <c r="R5" s="4"/>
      <c r="S5" s="3"/>
      <c r="T5" s="3"/>
      <c r="U5" s="3" t="s">
        <v>4</v>
      </c>
      <c r="V5" s="1"/>
      <c r="W5" s="1"/>
      <c r="X5" s="1"/>
      <c r="Y5" s="1"/>
    </row>
    <row r="6" spans="1:25" x14ac:dyDescent="0.3">
      <c r="A6" s="2" t="s">
        <v>5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 t="s">
        <v>6</v>
      </c>
      <c r="V6" s="1"/>
      <c r="W6" s="1"/>
      <c r="X6" s="1"/>
      <c r="Y6" s="1"/>
    </row>
    <row r="7" spans="1:25" ht="15" customHeight="1" x14ac:dyDescent="0.3">
      <c r="A7" s="59" t="s">
        <v>7</v>
      </c>
      <c r="B7" s="59"/>
      <c r="C7" s="59"/>
      <c r="D7" s="59"/>
      <c r="E7" s="5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59" t="s">
        <v>7</v>
      </c>
      <c r="V7" s="59"/>
      <c r="W7" s="59"/>
      <c r="X7" s="59"/>
      <c r="Y7" s="59"/>
    </row>
    <row r="8" spans="1:25" x14ac:dyDescent="0.3"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5" x14ac:dyDescent="0.3">
      <c r="A9" s="33" t="s">
        <v>8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spans="1:25" x14ac:dyDescent="0.3">
      <c r="A10" s="5"/>
      <c r="B10" s="5"/>
      <c r="C10" s="5"/>
      <c r="D10" s="5"/>
      <c r="E10" s="5"/>
      <c r="F10" s="6" t="s">
        <v>9</v>
      </c>
      <c r="G10" s="7"/>
      <c r="H10" s="7"/>
      <c r="I10" s="7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  <c r="W10" s="3"/>
      <c r="X10" s="3"/>
      <c r="Y10" s="3"/>
    </row>
    <row r="11" spans="1:25" ht="15" customHeight="1" x14ac:dyDescent="0.3">
      <c r="A11" s="34" t="s">
        <v>10</v>
      </c>
      <c r="B11" s="35" t="s">
        <v>11</v>
      </c>
      <c r="C11" s="38" t="s">
        <v>12</v>
      </c>
      <c r="D11" s="38" t="s">
        <v>13</v>
      </c>
      <c r="E11" s="38" t="s">
        <v>14</v>
      </c>
      <c r="F11" s="34" t="s">
        <v>15</v>
      </c>
      <c r="G11" s="34" t="s">
        <v>16</v>
      </c>
      <c r="H11" s="41" t="s">
        <v>17</v>
      </c>
      <c r="I11" s="42" t="s">
        <v>18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spans="1:25" ht="27.75" customHeight="1" x14ac:dyDescent="0.3">
      <c r="A12" s="34"/>
      <c r="B12" s="36"/>
      <c r="C12" s="39"/>
      <c r="D12" s="39"/>
      <c r="E12" s="39"/>
      <c r="F12" s="34"/>
      <c r="G12" s="34"/>
      <c r="H12" s="41"/>
      <c r="I12" s="43" t="s">
        <v>19</v>
      </c>
      <c r="J12" s="41" t="s">
        <v>20</v>
      </c>
      <c r="K12" s="41"/>
      <c r="L12" s="41"/>
      <c r="M12" s="41"/>
      <c r="N12" s="41"/>
      <c r="O12" s="41"/>
      <c r="P12" s="38" t="s">
        <v>21</v>
      </c>
      <c r="Q12" s="38" t="s">
        <v>22</v>
      </c>
      <c r="R12" s="48" t="s">
        <v>23</v>
      </c>
      <c r="S12" s="48"/>
      <c r="T12" s="48" t="s">
        <v>24</v>
      </c>
      <c r="U12" s="48"/>
      <c r="V12" s="38" t="s">
        <v>25</v>
      </c>
      <c r="W12" s="38" t="s">
        <v>26</v>
      </c>
      <c r="X12" s="38" t="s">
        <v>27</v>
      </c>
      <c r="Y12" s="38" t="s">
        <v>28</v>
      </c>
    </row>
    <row r="13" spans="1:25" ht="21" customHeight="1" x14ac:dyDescent="0.3">
      <c r="A13" s="34"/>
      <c r="B13" s="36"/>
      <c r="C13" s="39"/>
      <c r="D13" s="39"/>
      <c r="E13" s="39"/>
      <c r="F13" s="34"/>
      <c r="G13" s="34"/>
      <c r="H13" s="41"/>
      <c r="I13" s="44"/>
      <c r="J13" s="34" t="s">
        <v>29</v>
      </c>
      <c r="K13" s="41" t="s">
        <v>30</v>
      </c>
      <c r="L13" s="41"/>
      <c r="M13" s="41"/>
      <c r="N13" s="41"/>
      <c r="O13" s="34" t="s">
        <v>31</v>
      </c>
      <c r="P13" s="46"/>
      <c r="Q13" s="39"/>
      <c r="R13" s="34" t="s">
        <v>32</v>
      </c>
      <c r="S13" s="34" t="s">
        <v>33</v>
      </c>
      <c r="T13" s="34" t="s">
        <v>34</v>
      </c>
      <c r="U13" s="34" t="s">
        <v>35</v>
      </c>
      <c r="V13" s="39"/>
      <c r="W13" s="39"/>
      <c r="X13" s="39"/>
      <c r="Y13" s="39"/>
    </row>
    <row r="14" spans="1:25" ht="84.75" customHeight="1" x14ac:dyDescent="0.3">
      <c r="A14" s="34"/>
      <c r="B14" s="37"/>
      <c r="C14" s="40"/>
      <c r="D14" s="40"/>
      <c r="E14" s="40"/>
      <c r="F14" s="34"/>
      <c r="G14" s="34"/>
      <c r="H14" s="41"/>
      <c r="I14" s="45"/>
      <c r="J14" s="34"/>
      <c r="K14" s="8" t="s">
        <v>36</v>
      </c>
      <c r="L14" s="8" t="s">
        <v>37</v>
      </c>
      <c r="M14" s="8" t="s">
        <v>38</v>
      </c>
      <c r="N14" s="8" t="s">
        <v>39</v>
      </c>
      <c r="O14" s="34"/>
      <c r="P14" s="47"/>
      <c r="Q14" s="40"/>
      <c r="R14" s="34"/>
      <c r="S14" s="34"/>
      <c r="T14" s="34"/>
      <c r="U14" s="34"/>
      <c r="V14" s="40"/>
      <c r="W14" s="40"/>
      <c r="X14" s="40"/>
      <c r="Y14" s="40"/>
    </row>
    <row r="15" spans="1:25" ht="21" customHeight="1" x14ac:dyDescent="0.3">
      <c r="A15" s="9" t="s">
        <v>40</v>
      </c>
      <c r="B15" s="10" t="s">
        <v>41</v>
      </c>
      <c r="C15" s="11">
        <v>25</v>
      </c>
      <c r="D15" s="12">
        <v>3</v>
      </c>
      <c r="E15" s="12">
        <v>2</v>
      </c>
      <c r="F15" s="12">
        <v>16</v>
      </c>
      <c r="G15" s="12"/>
      <c r="H15" s="10" t="s">
        <v>42</v>
      </c>
      <c r="I15" s="13"/>
      <c r="J15" s="13">
        <f>SUM(K15:N15)</f>
        <v>10</v>
      </c>
      <c r="K15" s="14"/>
      <c r="L15" s="15">
        <v>10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>
        <f t="shared" ref="Y15:Y24" si="0">SUM(J15,P15:X15)</f>
        <v>10</v>
      </c>
    </row>
    <row r="16" spans="1:25" ht="21" customHeight="1" x14ac:dyDescent="0.3">
      <c r="A16" s="9" t="s">
        <v>40</v>
      </c>
      <c r="B16" s="10" t="s">
        <v>43</v>
      </c>
      <c r="C16" s="11">
        <v>26</v>
      </c>
      <c r="D16" s="12">
        <v>3</v>
      </c>
      <c r="E16" s="12">
        <v>2</v>
      </c>
      <c r="F16" s="12">
        <v>16</v>
      </c>
      <c r="G16" s="12"/>
      <c r="H16" s="10" t="s">
        <v>44</v>
      </c>
      <c r="I16" s="13"/>
      <c r="J16" s="13">
        <f t="shared" ref="J16:J24" si="1">SUM(K16:N16)</f>
        <v>10</v>
      </c>
      <c r="K16" s="14"/>
      <c r="L16" s="15">
        <v>10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>
        <f t="shared" si="0"/>
        <v>10</v>
      </c>
    </row>
    <row r="17" spans="1:25" ht="21" customHeight="1" x14ac:dyDescent="0.3">
      <c r="A17" s="9" t="s">
        <v>45</v>
      </c>
      <c r="B17" s="10" t="s">
        <v>46</v>
      </c>
      <c r="C17" s="11">
        <v>22</v>
      </c>
      <c r="D17" s="12">
        <v>4</v>
      </c>
      <c r="E17" s="12">
        <v>1</v>
      </c>
      <c r="F17" s="12">
        <v>18</v>
      </c>
      <c r="G17" s="12">
        <f>J17/F17</f>
        <v>4</v>
      </c>
      <c r="H17" s="10" t="s">
        <v>47</v>
      </c>
      <c r="I17" s="13">
        <v>90</v>
      </c>
      <c r="J17" s="13">
        <f t="shared" si="1"/>
        <v>72</v>
      </c>
      <c r="K17" s="17">
        <v>32</v>
      </c>
      <c r="L17" s="17">
        <v>40</v>
      </c>
      <c r="M17" s="16"/>
      <c r="N17" s="16"/>
      <c r="O17" s="16">
        <f>I17-J17</f>
        <v>18</v>
      </c>
      <c r="P17" s="16"/>
      <c r="Q17" s="16"/>
      <c r="R17" s="16"/>
      <c r="S17" s="16"/>
      <c r="T17" s="18">
        <f>C17*0.25</f>
        <v>5.5</v>
      </c>
      <c r="U17" s="16"/>
      <c r="V17" s="16"/>
      <c r="W17" s="14">
        <v>2</v>
      </c>
      <c r="X17" s="18">
        <f>C17*0.33</f>
        <v>7.2600000000000007</v>
      </c>
      <c r="Y17" s="16">
        <f t="shared" si="0"/>
        <v>86.76</v>
      </c>
    </row>
    <row r="18" spans="1:25" ht="21" customHeight="1" x14ac:dyDescent="0.3">
      <c r="A18" s="9" t="s">
        <v>45</v>
      </c>
      <c r="B18" s="10" t="s">
        <v>48</v>
      </c>
      <c r="C18" s="11">
        <v>20</v>
      </c>
      <c r="D18" s="12">
        <v>4</v>
      </c>
      <c r="E18" s="12">
        <v>1</v>
      </c>
      <c r="F18" s="12">
        <v>18</v>
      </c>
      <c r="G18" s="12">
        <f>J18/F18</f>
        <v>4</v>
      </c>
      <c r="H18" s="10" t="s">
        <v>47</v>
      </c>
      <c r="I18" s="13">
        <v>90</v>
      </c>
      <c r="J18" s="13">
        <f t="shared" si="1"/>
        <v>72</v>
      </c>
      <c r="K18" s="17">
        <v>32</v>
      </c>
      <c r="L18" s="17">
        <v>40</v>
      </c>
      <c r="M18" s="16"/>
      <c r="N18" s="16"/>
      <c r="O18" s="16">
        <f>I18-J18</f>
        <v>18</v>
      </c>
      <c r="P18" s="16"/>
      <c r="Q18" s="16"/>
      <c r="R18" s="16"/>
      <c r="S18" s="16"/>
      <c r="T18" s="18">
        <f>C18*0.25</f>
        <v>5</v>
      </c>
      <c r="U18" s="16"/>
      <c r="V18" s="16"/>
      <c r="W18" s="14">
        <v>2</v>
      </c>
      <c r="X18" s="18">
        <f>C18*0.33</f>
        <v>6.6000000000000005</v>
      </c>
      <c r="Y18" s="16">
        <f t="shared" si="0"/>
        <v>85.6</v>
      </c>
    </row>
    <row r="19" spans="1:25" ht="21" customHeight="1" x14ac:dyDescent="0.3">
      <c r="A19" s="9" t="s">
        <v>49</v>
      </c>
      <c r="B19" s="10" t="s">
        <v>46</v>
      </c>
      <c r="C19" s="11">
        <v>22</v>
      </c>
      <c r="D19" s="12">
        <v>4</v>
      </c>
      <c r="E19" s="12">
        <v>1</v>
      </c>
      <c r="F19" s="12">
        <v>18</v>
      </c>
      <c r="G19" s="12"/>
      <c r="H19" s="10" t="s">
        <v>50</v>
      </c>
      <c r="I19" s="13"/>
      <c r="J19" s="13">
        <f t="shared" si="1"/>
        <v>24</v>
      </c>
      <c r="K19" s="17"/>
      <c r="L19" s="17">
        <v>24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>
        <f t="shared" si="0"/>
        <v>24</v>
      </c>
    </row>
    <row r="20" spans="1:25" ht="21" customHeight="1" x14ac:dyDescent="0.3">
      <c r="A20" s="9" t="s">
        <v>49</v>
      </c>
      <c r="B20" s="10" t="s">
        <v>48</v>
      </c>
      <c r="C20" s="11">
        <v>20</v>
      </c>
      <c r="D20" s="12">
        <v>4</v>
      </c>
      <c r="E20" s="12">
        <v>1</v>
      </c>
      <c r="F20" s="12">
        <v>18</v>
      </c>
      <c r="G20" s="12"/>
      <c r="H20" s="10" t="s">
        <v>50</v>
      </c>
      <c r="I20" s="13"/>
      <c r="J20" s="13">
        <f t="shared" si="1"/>
        <v>24</v>
      </c>
      <c r="K20" s="17"/>
      <c r="L20" s="17">
        <v>24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>
        <f t="shared" si="0"/>
        <v>24</v>
      </c>
    </row>
    <row r="21" spans="1:25" ht="21" customHeight="1" x14ac:dyDescent="0.3">
      <c r="A21" s="9" t="s">
        <v>51</v>
      </c>
      <c r="B21" s="10" t="s">
        <v>46</v>
      </c>
      <c r="C21" s="11">
        <v>22</v>
      </c>
      <c r="D21" s="12">
        <v>4</v>
      </c>
      <c r="E21" s="12">
        <v>1</v>
      </c>
      <c r="F21" s="12">
        <v>18</v>
      </c>
      <c r="G21" s="12"/>
      <c r="H21" s="10" t="s">
        <v>52</v>
      </c>
      <c r="I21" s="13"/>
      <c r="J21" s="13">
        <f t="shared" si="1"/>
        <v>54</v>
      </c>
      <c r="K21" s="19"/>
      <c r="L21" s="17">
        <f>18*3</f>
        <v>54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1</v>
      </c>
      <c r="X21" s="16"/>
      <c r="Y21" s="16">
        <f t="shared" si="0"/>
        <v>55</v>
      </c>
    </row>
    <row r="22" spans="1:25" ht="21" customHeight="1" x14ac:dyDescent="0.3">
      <c r="A22" s="9" t="s">
        <v>51</v>
      </c>
      <c r="B22" s="10" t="s">
        <v>48</v>
      </c>
      <c r="C22" s="11">
        <v>20</v>
      </c>
      <c r="D22" s="12">
        <v>4</v>
      </c>
      <c r="E22" s="12">
        <v>1</v>
      </c>
      <c r="F22" s="12">
        <v>18</v>
      </c>
      <c r="G22" s="12"/>
      <c r="H22" s="10" t="s">
        <v>52</v>
      </c>
      <c r="I22" s="13"/>
      <c r="J22" s="13">
        <f t="shared" si="1"/>
        <v>54</v>
      </c>
      <c r="K22" s="19"/>
      <c r="L22" s="17">
        <f>18*3</f>
        <v>54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1</v>
      </c>
      <c r="X22" s="16"/>
      <c r="Y22" s="16">
        <f t="shared" si="0"/>
        <v>55</v>
      </c>
    </row>
    <row r="23" spans="1:25" ht="21" customHeight="1" x14ac:dyDescent="0.3">
      <c r="A23" s="9" t="s">
        <v>53</v>
      </c>
      <c r="B23" s="10" t="s">
        <v>41</v>
      </c>
      <c r="C23" s="11">
        <v>25</v>
      </c>
      <c r="D23" s="12">
        <v>3</v>
      </c>
      <c r="E23" s="12">
        <v>2</v>
      </c>
      <c r="F23" s="12">
        <v>16</v>
      </c>
      <c r="G23" s="12"/>
      <c r="H23" s="10" t="s">
        <v>54</v>
      </c>
      <c r="I23" s="13"/>
      <c r="J23" s="13">
        <f t="shared" si="1"/>
        <v>54</v>
      </c>
      <c r="K23" s="14"/>
      <c r="L23" s="17">
        <f>18*3</f>
        <v>54</v>
      </c>
      <c r="M23" s="16"/>
      <c r="N23" s="16"/>
      <c r="O23" s="16"/>
      <c r="P23" s="16"/>
      <c r="Q23" s="16"/>
      <c r="R23" s="16"/>
      <c r="S23" s="16"/>
      <c r="T23" s="18"/>
      <c r="U23" s="16"/>
      <c r="V23" s="16"/>
      <c r="W23" s="14">
        <v>1</v>
      </c>
      <c r="X23" s="18"/>
      <c r="Y23" s="16">
        <f t="shared" si="0"/>
        <v>55</v>
      </c>
    </row>
    <row r="24" spans="1:25" ht="21" customHeight="1" x14ac:dyDescent="0.3">
      <c r="A24" s="9" t="s">
        <v>53</v>
      </c>
      <c r="B24" s="10" t="s">
        <v>43</v>
      </c>
      <c r="C24" s="11">
        <v>26</v>
      </c>
      <c r="D24" s="12">
        <v>3</v>
      </c>
      <c r="E24" s="12">
        <v>2</v>
      </c>
      <c r="F24" s="12">
        <v>16</v>
      </c>
      <c r="G24" s="12"/>
      <c r="H24" s="10" t="s">
        <v>54</v>
      </c>
      <c r="I24" s="13"/>
      <c r="J24" s="13">
        <f t="shared" si="1"/>
        <v>54</v>
      </c>
      <c r="K24" s="14"/>
      <c r="L24" s="17">
        <f>18*3</f>
        <v>54</v>
      </c>
      <c r="M24" s="16"/>
      <c r="N24" s="16"/>
      <c r="O24" s="16"/>
      <c r="P24" s="16"/>
      <c r="Q24" s="16"/>
      <c r="R24" s="16"/>
      <c r="S24" s="16"/>
      <c r="T24" s="18"/>
      <c r="U24" s="16"/>
      <c r="V24" s="16"/>
      <c r="W24" s="14">
        <v>1</v>
      </c>
      <c r="X24" s="18"/>
      <c r="Y24" s="16">
        <f t="shared" si="0"/>
        <v>55</v>
      </c>
    </row>
    <row r="25" spans="1:25" ht="21" customHeight="1" x14ac:dyDescent="0.3">
      <c r="A25" s="9" t="s">
        <v>55</v>
      </c>
      <c r="B25" s="10" t="s">
        <v>56</v>
      </c>
      <c r="C25" s="11">
        <v>30</v>
      </c>
      <c r="D25" s="12">
        <v>2</v>
      </c>
      <c r="E25" s="12">
        <v>1</v>
      </c>
      <c r="F25" s="12">
        <v>18</v>
      </c>
      <c r="G25" s="12"/>
      <c r="H25" s="10" t="s">
        <v>57</v>
      </c>
      <c r="I25" s="13"/>
      <c r="J25" s="13">
        <f>SUM(K25:N25)</f>
        <v>36</v>
      </c>
      <c r="K25" s="20"/>
      <c r="L25" s="17">
        <f>18*2</f>
        <v>36</v>
      </c>
      <c r="M25" s="13"/>
      <c r="N25" s="13"/>
      <c r="O25" s="13"/>
      <c r="P25" s="13"/>
      <c r="Q25" s="13"/>
      <c r="R25" s="13"/>
      <c r="S25" s="13"/>
      <c r="T25" s="13"/>
      <c r="U25" s="13"/>
      <c r="V25" s="13">
        <v>1</v>
      </c>
      <c r="W25" s="13"/>
      <c r="X25" s="13"/>
      <c r="Y25" s="13">
        <f>SUM(J25,P25:X25)</f>
        <v>37</v>
      </c>
    </row>
    <row r="26" spans="1:25" ht="21" customHeight="1" x14ac:dyDescent="0.3">
      <c r="A26" s="9" t="s">
        <v>55</v>
      </c>
      <c r="B26" s="10" t="s">
        <v>58</v>
      </c>
      <c r="C26" s="11">
        <v>29</v>
      </c>
      <c r="D26" s="12">
        <v>2</v>
      </c>
      <c r="E26" s="12">
        <v>1</v>
      </c>
      <c r="F26" s="12">
        <v>18</v>
      </c>
      <c r="G26" s="12"/>
      <c r="H26" s="10" t="s">
        <v>57</v>
      </c>
      <c r="I26" s="13"/>
      <c r="J26" s="13">
        <f>SUM(K26:N26)</f>
        <v>36</v>
      </c>
      <c r="K26" s="20"/>
      <c r="L26" s="17">
        <f>18*2</f>
        <v>36</v>
      </c>
      <c r="M26" s="13"/>
      <c r="N26" s="13"/>
      <c r="O26" s="13"/>
      <c r="P26" s="13"/>
      <c r="Q26" s="13"/>
      <c r="R26" s="13"/>
      <c r="S26" s="13"/>
      <c r="T26" s="13"/>
      <c r="U26" s="13"/>
      <c r="V26" s="13">
        <v>1</v>
      </c>
      <c r="W26" s="13"/>
      <c r="X26" s="13"/>
      <c r="Y26" s="13">
        <f>SUM(J26,P26:X26)</f>
        <v>37</v>
      </c>
    </row>
    <row r="27" spans="1:25" ht="21" customHeight="1" x14ac:dyDescent="0.3">
      <c r="A27" s="9" t="s">
        <v>59</v>
      </c>
      <c r="B27" s="10" t="s">
        <v>60</v>
      </c>
      <c r="C27" s="11">
        <v>8</v>
      </c>
      <c r="D27" s="12"/>
      <c r="E27" s="12">
        <v>2</v>
      </c>
      <c r="F27" s="12">
        <v>18</v>
      </c>
      <c r="G27" s="12"/>
      <c r="H27" s="10" t="s">
        <v>61</v>
      </c>
      <c r="I27" s="13"/>
      <c r="J27" s="13"/>
      <c r="K27" s="19"/>
      <c r="L27" s="19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1">
        <f>11*C27</f>
        <v>88</v>
      </c>
    </row>
    <row r="28" spans="1:25" ht="21" customHeight="1" x14ac:dyDescent="0.3">
      <c r="A28" s="9" t="s">
        <v>62</v>
      </c>
      <c r="B28" s="22" t="s">
        <v>46</v>
      </c>
      <c r="C28" s="23">
        <v>22</v>
      </c>
      <c r="D28" s="24">
        <v>4</v>
      </c>
      <c r="E28" s="24">
        <v>1</v>
      </c>
      <c r="F28" s="12">
        <v>18</v>
      </c>
      <c r="G28" s="12"/>
      <c r="H28" s="10" t="s">
        <v>63</v>
      </c>
      <c r="I28" s="13"/>
      <c r="J28" s="16"/>
      <c r="K28" s="14"/>
      <c r="L28" s="17"/>
      <c r="M28" s="16"/>
      <c r="N28" s="16"/>
      <c r="O28" s="16"/>
      <c r="P28" s="16"/>
      <c r="Q28" s="16"/>
      <c r="R28" s="16">
        <f>9*3</f>
        <v>27</v>
      </c>
      <c r="S28" s="16">
        <f>C28*0.33</f>
        <v>7.2600000000000007</v>
      </c>
      <c r="T28" s="16"/>
      <c r="U28" s="16"/>
      <c r="V28" s="16"/>
      <c r="W28" s="16"/>
      <c r="X28" s="16"/>
      <c r="Y28" s="16">
        <f t="shared" ref="Y28:Y33" si="2">SUM(J28,P28:X28)</f>
        <v>34.26</v>
      </c>
    </row>
    <row r="29" spans="1:25" ht="21" customHeight="1" x14ac:dyDescent="0.3">
      <c r="A29" s="9" t="s">
        <v>62</v>
      </c>
      <c r="B29" s="22" t="s">
        <v>48</v>
      </c>
      <c r="C29" s="23">
        <v>20</v>
      </c>
      <c r="D29" s="24">
        <v>4</v>
      </c>
      <c r="E29" s="24">
        <v>1</v>
      </c>
      <c r="F29" s="12">
        <v>18</v>
      </c>
      <c r="G29" s="12"/>
      <c r="H29" s="10" t="s">
        <v>63</v>
      </c>
      <c r="I29" s="13"/>
      <c r="J29" s="16"/>
      <c r="K29" s="14"/>
      <c r="L29" s="17"/>
      <c r="M29" s="16"/>
      <c r="N29" s="16"/>
      <c r="O29" s="16"/>
      <c r="P29" s="16"/>
      <c r="Q29" s="16"/>
      <c r="R29" s="16">
        <f>8*3</f>
        <v>24</v>
      </c>
      <c r="S29" s="16">
        <f>C29*0.33</f>
        <v>6.6000000000000005</v>
      </c>
      <c r="T29" s="16"/>
      <c r="U29" s="16"/>
      <c r="V29" s="16"/>
      <c r="W29" s="16"/>
      <c r="X29" s="16"/>
      <c r="Y29" s="16">
        <f t="shared" si="2"/>
        <v>30.6</v>
      </c>
    </row>
    <row r="30" spans="1:25" ht="21" customHeight="1" x14ac:dyDescent="0.3">
      <c r="A30" s="25" t="s">
        <v>64</v>
      </c>
      <c r="B30" s="10" t="s">
        <v>46</v>
      </c>
      <c r="C30" s="11">
        <v>22</v>
      </c>
      <c r="D30" s="12">
        <v>4</v>
      </c>
      <c r="E30" s="12">
        <v>2</v>
      </c>
      <c r="F30" s="12">
        <v>18</v>
      </c>
      <c r="G30" s="12"/>
      <c r="H30" s="10" t="s">
        <v>65</v>
      </c>
      <c r="I30" s="13"/>
      <c r="J30" s="16">
        <f>SUM(K30:N30)</f>
        <v>10</v>
      </c>
      <c r="K30" s="17"/>
      <c r="L30" s="17">
        <v>10</v>
      </c>
      <c r="M30" s="16"/>
      <c r="N30" s="16"/>
      <c r="O30" s="16"/>
      <c r="P30" s="16"/>
      <c r="Q30" s="16"/>
      <c r="R30" s="16"/>
      <c r="S30" s="16"/>
      <c r="T30" s="18"/>
      <c r="U30" s="16"/>
      <c r="V30" s="16"/>
      <c r="W30" s="16"/>
      <c r="X30" s="16"/>
      <c r="Y30" s="16">
        <f t="shared" si="2"/>
        <v>10</v>
      </c>
    </row>
    <row r="31" spans="1:25" ht="21" customHeight="1" x14ac:dyDescent="0.3">
      <c r="A31" s="25" t="s">
        <v>64</v>
      </c>
      <c r="B31" s="10" t="s">
        <v>48</v>
      </c>
      <c r="C31" s="11">
        <v>20</v>
      </c>
      <c r="D31" s="12">
        <v>4</v>
      </c>
      <c r="E31" s="12">
        <v>2</v>
      </c>
      <c r="F31" s="12">
        <v>18</v>
      </c>
      <c r="G31" s="12"/>
      <c r="H31" s="10" t="s">
        <v>65</v>
      </c>
      <c r="I31" s="13"/>
      <c r="J31" s="16">
        <f>SUM(K31:N31)</f>
        <v>10</v>
      </c>
      <c r="K31" s="17"/>
      <c r="L31" s="17">
        <v>10</v>
      </c>
      <c r="M31" s="16"/>
      <c r="N31" s="16"/>
      <c r="O31" s="16"/>
      <c r="P31" s="16"/>
      <c r="Q31" s="16"/>
      <c r="R31" s="16"/>
      <c r="S31" s="16"/>
      <c r="T31" s="18"/>
      <c r="U31" s="16"/>
      <c r="V31" s="16"/>
      <c r="W31" s="16"/>
      <c r="X31" s="16"/>
      <c r="Y31" s="16">
        <f t="shared" si="2"/>
        <v>10</v>
      </c>
    </row>
    <row r="32" spans="1:25" ht="21" customHeight="1" x14ac:dyDescent="0.3">
      <c r="A32" s="12" t="s">
        <v>66</v>
      </c>
      <c r="B32" s="10" t="s">
        <v>67</v>
      </c>
      <c r="C32" s="11">
        <v>30</v>
      </c>
      <c r="D32" s="12">
        <v>1</v>
      </c>
      <c r="E32" s="12">
        <v>2</v>
      </c>
      <c r="F32" s="12">
        <v>20</v>
      </c>
      <c r="G32" s="12"/>
      <c r="H32" s="26" t="s">
        <v>68</v>
      </c>
      <c r="I32" s="13"/>
      <c r="J32" s="16">
        <f>SUM(K32:N32)</f>
        <v>10</v>
      </c>
      <c r="K32" s="17"/>
      <c r="L32" s="17">
        <v>10</v>
      </c>
      <c r="M32" s="16"/>
      <c r="N32" s="16"/>
      <c r="O32" s="16"/>
      <c r="P32" s="16"/>
      <c r="Q32" s="16"/>
      <c r="R32" s="16"/>
      <c r="S32" s="16"/>
      <c r="T32" s="18"/>
      <c r="U32" s="16"/>
      <c r="V32" s="16"/>
      <c r="W32" s="16"/>
      <c r="X32" s="16"/>
      <c r="Y32" s="16">
        <f t="shared" si="2"/>
        <v>10</v>
      </c>
    </row>
    <row r="33" spans="1:25" ht="21" customHeight="1" x14ac:dyDescent="0.3">
      <c r="A33" s="12" t="s">
        <v>66</v>
      </c>
      <c r="B33" s="10" t="s">
        <v>69</v>
      </c>
      <c r="C33" s="11">
        <v>30</v>
      </c>
      <c r="D33" s="12">
        <v>1</v>
      </c>
      <c r="E33" s="12">
        <v>2</v>
      </c>
      <c r="F33" s="12">
        <v>20</v>
      </c>
      <c r="G33" s="12"/>
      <c r="H33" s="26" t="s">
        <v>68</v>
      </c>
      <c r="I33" s="13"/>
      <c r="J33" s="16">
        <f>SUM(K33:N33)</f>
        <v>10</v>
      </c>
      <c r="K33" s="17"/>
      <c r="L33" s="17">
        <v>10</v>
      </c>
      <c r="M33" s="16"/>
      <c r="N33" s="16"/>
      <c r="O33" s="16"/>
      <c r="P33" s="16"/>
      <c r="Q33" s="16"/>
      <c r="R33" s="16"/>
      <c r="S33" s="16"/>
      <c r="T33" s="18"/>
      <c r="U33" s="16"/>
      <c r="V33" s="16"/>
      <c r="W33" s="16"/>
      <c r="X33" s="16"/>
      <c r="Y33" s="16">
        <f t="shared" si="2"/>
        <v>10</v>
      </c>
    </row>
    <row r="34" spans="1:25" ht="21" customHeight="1" x14ac:dyDescent="0.3">
      <c r="A34" s="12"/>
      <c r="B34" s="10"/>
      <c r="C34" s="11"/>
      <c r="D34" s="12"/>
      <c r="E34" s="12"/>
      <c r="F34" s="12"/>
      <c r="G34" s="12"/>
      <c r="H34" s="26"/>
      <c r="I34" s="13"/>
      <c r="J34" s="16"/>
      <c r="K34" s="17"/>
      <c r="L34" s="17"/>
      <c r="M34" s="16"/>
      <c r="N34" s="16"/>
      <c r="O34" s="16"/>
      <c r="P34" s="16"/>
      <c r="Q34" s="16"/>
      <c r="R34" s="16"/>
      <c r="S34" s="16"/>
      <c r="T34" s="18"/>
      <c r="U34" s="16"/>
      <c r="V34" s="16"/>
      <c r="W34" s="16"/>
      <c r="X34" s="16"/>
      <c r="Y34" s="16"/>
    </row>
    <row r="35" spans="1:25" ht="21" customHeight="1" x14ac:dyDescent="0.3">
      <c r="A35" s="12"/>
      <c r="B35" s="10"/>
      <c r="C35" s="11"/>
      <c r="D35" s="12"/>
      <c r="E35" s="12"/>
      <c r="F35" s="12"/>
      <c r="G35" s="12"/>
      <c r="H35" s="26"/>
      <c r="I35" s="13"/>
      <c r="J35" s="16"/>
      <c r="K35" s="17"/>
      <c r="L35" s="17"/>
      <c r="M35" s="16"/>
      <c r="N35" s="16"/>
      <c r="O35" s="16"/>
      <c r="P35" s="16"/>
      <c r="Q35" s="16"/>
      <c r="R35" s="16"/>
      <c r="S35" s="16"/>
      <c r="T35" s="18"/>
      <c r="U35" s="16"/>
      <c r="V35" s="16"/>
      <c r="W35" s="16"/>
      <c r="X35" s="16"/>
      <c r="Y35" s="16"/>
    </row>
    <row r="36" spans="1:25" ht="15" customHeight="1" x14ac:dyDescent="0.3">
      <c r="A36" s="34" t="s">
        <v>70</v>
      </c>
      <c r="B36" s="41" t="s">
        <v>11</v>
      </c>
      <c r="C36" s="38" t="s">
        <v>12</v>
      </c>
      <c r="D36" s="34" t="s">
        <v>13</v>
      </c>
      <c r="E36" s="34" t="s">
        <v>14</v>
      </c>
      <c r="F36" s="34" t="s">
        <v>15</v>
      </c>
      <c r="G36" s="34" t="s">
        <v>16</v>
      </c>
      <c r="H36" s="41" t="s">
        <v>17</v>
      </c>
      <c r="I36" s="52" t="s">
        <v>18</v>
      </c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4"/>
    </row>
    <row r="37" spans="1:25" ht="27.75" customHeight="1" x14ac:dyDescent="0.3">
      <c r="A37" s="34"/>
      <c r="B37" s="41"/>
      <c r="C37" s="39"/>
      <c r="D37" s="34"/>
      <c r="E37" s="34"/>
      <c r="F37" s="34"/>
      <c r="G37" s="34"/>
      <c r="H37" s="41"/>
      <c r="I37" s="55" t="s">
        <v>19</v>
      </c>
      <c r="J37" s="41" t="s">
        <v>20</v>
      </c>
      <c r="K37" s="41"/>
      <c r="L37" s="41"/>
      <c r="M37" s="41"/>
      <c r="N37" s="41"/>
      <c r="O37" s="41"/>
      <c r="P37" s="49" t="s">
        <v>21</v>
      </c>
      <c r="Q37" s="34" t="s">
        <v>71</v>
      </c>
      <c r="R37" s="48" t="s">
        <v>23</v>
      </c>
      <c r="S37" s="48"/>
      <c r="T37" s="48" t="s">
        <v>24</v>
      </c>
      <c r="U37" s="48"/>
      <c r="V37" s="34" t="s">
        <v>25</v>
      </c>
      <c r="W37" s="34" t="s">
        <v>26</v>
      </c>
      <c r="X37" s="34" t="s">
        <v>27</v>
      </c>
      <c r="Y37" s="34" t="s">
        <v>28</v>
      </c>
    </row>
    <row r="38" spans="1:25" ht="21" customHeight="1" x14ac:dyDescent="0.3">
      <c r="A38" s="34"/>
      <c r="B38" s="41"/>
      <c r="C38" s="39"/>
      <c r="D38" s="34"/>
      <c r="E38" s="34"/>
      <c r="F38" s="34"/>
      <c r="G38" s="34"/>
      <c r="H38" s="41"/>
      <c r="I38" s="55"/>
      <c r="J38" s="34" t="s">
        <v>29</v>
      </c>
      <c r="K38" s="41" t="s">
        <v>30</v>
      </c>
      <c r="L38" s="41"/>
      <c r="M38" s="41"/>
      <c r="N38" s="41"/>
      <c r="O38" s="34" t="s">
        <v>31</v>
      </c>
      <c r="P38" s="50"/>
      <c r="Q38" s="34"/>
      <c r="R38" s="34" t="s">
        <v>32</v>
      </c>
      <c r="S38" s="34" t="s">
        <v>33</v>
      </c>
      <c r="T38" s="34" t="s">
        <v>72</v>
      </c>
      <c r="U38" s="34" t="s">
        <v>35</v>
      </c>
      <c r="V38" s="34"/>
      <c r="W38" s="34"/>
      <c r="X38" s="34"/>
      <c r="Y38" s="34"/>
    </row>
    <row r="39" spans="1:25" ht="84.75" customHeight="1" x14ac:dyDescent="0.3">
      <c r="A39" s="34"/>
      <c r="B39" s="41"/>
      <c r="C39" s="40"/>
      <c r="D39" s="34"/>
      <c r="E39" s="34"/>
      <c r="F39" s="34"/>
      <c r="G39" s="34"/>
      <c r="H39" s="41"/>
      <c r="I39" s="55"/>
      <c r="J39" s="34"/>
      <c r="K39" s="8" t="s">
        <v>36</v>
      </c>
      <c r="L39" s="8" t="s">
        <v>37</v>
      </c>
      <c r="M39" s="8" t="s">
        <v>38</v>
      </c>
      <c r="N39" s="8" t="s">
        <v>73</v>
      </c>
      <c r="O39" s="34"/>
      <c r="P39" s="51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21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21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21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1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1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1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1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1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1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1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21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21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1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1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1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1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1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1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1" customHeight="1" x14ac:dyDescent="0.3">
      <c r="A58" s="56" t="s">
        <v>74</v>
      </c>
      <c r="B58" s="56"/>
      <c r="C58" s="56"/>
      <c r="D58" s="56"/>
      <c r="E58" s="56"/>
      <c r="F58" s="56"/>
      <c r="G58" s="56"/>
      <c r="H58" s="56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>
        <f>SUM(Y15:Y34,Y40:Y57)</f>
        <v>727.22</v>
      </c>
    </row>
    <row r="61" spans="1:25" x14ac:dyDescent="0.3">
      <c r="A61" t="s">
        <v>75</v>
      </c>
      <c r="G61" s="30">
        <f>(SUMIF(E15:E20,1,J15:J34)+SUMIF(E40:E57,1,J40:J57))/18</f>
        <v>10.666666666666666</v>
      </c>
      <c r="K61" s="62" t="s">
        <v>76</v>
      </c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spans="1:25" x14ac:dyDescent="0.3">
      <c r="G62" s="31"/>
    </row>
    <row r="63" spans="1:25" x14ac:dyDescent="0.3">
      <c r="A63" t="s">
        <v>77</v>
      </c>
      <c r="G63" s="30">
        <f>(SUMIF(E15:E20,2,J15:J34)+SUMIF(E40:E57,2,J40:J57))/18</f>
        <v>1.1111111111111112</v>
      </c>
      <c r="K63" s="62" t="s">
        <v>78</v>
      </c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5" spans="1:20" x14ac:dyDescent="0.3">
      <c r="A65" s="62" t="s">
        <v>79</v>
      </c>
      <c r="B65" s="62"/>
      <c r="C65" s="62"/>
      <c r="D65" s="62"/>
      <c r="E65" s="62"/>
      <c r="F65" s="62"/>
      <c r="G65" s="62"/>
      <c r="H65" s="62"/>
      <c r="K65" s="62" t="s">
        <v>80</v>
      </c>
      <c r="L65" s="62"/>
      <c r="M65" s="62"/>
      <c r="N65" s="62"/>
      <c r="O65" s="62"/>
      <c r="P65" s="62"/>
      <c r="Q65" s="62"/>
      <c r="R65" s="62"/>
      <c r="S65" s="62"/>
      <c r="T65" s="62"/>
    </row>
    <row r="67" spans="1:20" x14ac:dyDescent="0.3">
      <c r="A67" s="62" t="s">
        <v>81</v>
      </c>
      <c r="B67" s="62"/>
      <c r="C67" s="62"/>
      <c r="D67" s="62"/>
      <c r="E67" s="62"/>
      <c r="F67" s="62"/>
      <c r="G67" s="62"/>
      <c r="H67" s="62"/>
      <c r="K67" t="s">
        <v>82</v>
      </c>
    </row>
    <row r="69" spans="1:20" x14ac:dyDescent="0.3">
      <c r="A69" t="s">
        <v>83</v>
      </c>
      <c r="D69" s="32">
        <f>Y58</f>
        <v>727.22</v>
      </c>
    </row>
  </sheetData>
  <mergeCells count="53">
    <mergeCell ref="A58:H58"/>
    <mergeCell ref="W37:W39"/>
    <mergeCell ref="X37:X39"/>
    <mergeCell ref="Y37:Y39"/>
    <mergeCell ref="J38:J39"/>
    <mergeCell ref="K38:N38"/>
    <mergeCell ref="O38:O39"/>
    <mergeCell ref="R38:R39"/>
    <mergeCell ref="S38:S39"/>
    <mergeCell ref="T38:T39"/>
    <mergeCell ref="U38:U39"/>
    <mergeCell ref="G36:G39"/>
    <mergeCell ref="H36:H39"/>
    <mergeCell ref="I36:Y36"/>
    <mergeCell ref="I37:I39"/>
    <mergeCell ref="J37:O37"/>
    <mergeCell ref="P37:P39"/>
    <mergeCell ref="Q37:Q39"/>
    <mergeCell ref="R37:S37"/>
    <mergeCell ref="T37:U37"/>
    <mergeCell ref="V37:V39"/>
    <mergeCell ref="A36:A39"/>
    <mergeCell ref="B36:B39"/>
    <mergeCell ref="C36:C39"/>
    <mergeCell ref="D36:D39"/>
    <mergeCell ref="E36:E39"/>
    <mergeCell ref="F36:F39"/>
    <mergeCell ref="V12:V14"/>
    <mergeCell ref="W12:W14"/>
    <mergeCell ref="X12:X14"/>
    <mergeCell ref="Y12:Y14"/>
    <mergeCell ref="J13:J14"/>
    <mergeCell ref="K13:N13"/>
    <mergeCell ref="O13:O14"/>
    <mergeCell ref="R13:R14"/>
    <mergeCell ref="S13:S14"/>
    <mergeCell ref="T13:T14"/>
    <mergeCell ref="I12:I14"/>
    <mergeCell ref="J12:O12"/>
    <mergeCell ref="P12:P14"/>
    <mergeCell ref="Q12:Q14"/>
    <mergeCell ref="R12:S12"/>
    <mergeCell ref="T12:U12"/>
    <mergeCell ref="U13:U14"/>
    <mergeCell ref="A11:A14"/>
    <mergeCell ref="B11:B14"/>
    <mergeCell ref="C11:C14"/>
    <mergeCell ref="D11:D14"/>
    <mergeCell ref="E11:E14"/>
    <mergeCell ref="F11:F14"/>
    <mergeCell ref="G11:G14"/>
    <mergeCell ref="H11:H14"/>
    <mergeCell ref="I11:Y11"/>
  </mergeCells>
  <pageMargins left="0.23622047244094491" right="0.23622047244094491" top="0.31496062992125984" bottom="0.23622047244094491" header="0" footer="0"/>
  <pageSetup paperSize="9" scale="77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Басок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stud</cp:lastModifiedBy>
  <dcterms:created xsi:type="dcterms:W3CDTF">2025-08-28T12:53:37Z</dcterms:created>
  <dcterms:modified xsi:type="dcterms:W3CDTF">2026-08-13T07:00:29Z</dcterms:modified>
</cp:coreProperties>
</file>